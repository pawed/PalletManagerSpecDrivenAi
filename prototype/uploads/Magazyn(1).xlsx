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<sst xmlns="http://schemas.openxmlformats.org/spreadsheetml/2006/main" count="89" uniqueCount="56">
  <si>
    <t>Nazwa</t>
  </si>
  <si>
    <t>Ilośc</t>
  </si>
  <si>
    <t>Lokalizacja</t>
  </si>
  <si>
    <t>Kategoria</t>
  </si>
  <si>
    <t>Zdjecie/Link</t>
  </si>
  <si>
    <t>Uwagi</t>
  </si>
  <si>
    <t>Halogen Led z Czujnike Ruchu</t>
  </si>
  <si>
    <t>Miś</t>
  </si>
  <si>
    <t>Oświetlenie Pola</t>
  </si>
  <si>
    <t>https://allegro.pl/oferta/mocna-lampa-solarna-led-ogrodowa-uliczna-czujnik-ruchu-i-zmierzchu-pilot-17293700268</t>
  </si>
  <si>
    <t xml:space="preserve"> 2- nowe, 1 bez uchywtu (Wszystkie sprawne)</t>
  </si>
  <si>
    <t>Znak Teren Prywtny Laminowany</t>
  </si>
  <si>
    <t>Znaki</t>
  </si>
  <si>
    <t>Znak Laminowany Parking, Strzłka w Lewo</t>
  </si>
  <si>
    <t>Znak Parking blaszany Uliczny</t>
  </si>
  <si>
    <t>Megafon Rebel</t>
  </si>
  <si>
    <t>Inne</t>
  </si>
  <si>
    <t>Już naprawiony</t>
  </si>
  <si>
    <t>Kogut 12V</t>
  </si>
  <si>
    <t>Asia/Radek</t>
  </si>
  <si>
    <t>Jest</t>
  </si>
  <si>
    <t>Microswitch RF 433 12v</t>
  </si>
  <si>
    <t>Pilot RF433</t>
  </si>
  <si>
    <t xml:space="preserve">Lampki Najazdowe Solarne </t>
  </si>
  <si>
    <t>https://allegro.pl/oferta/12x-lampa-solarna-ogrodowa-lampki-led-gruntowe-dysk-czujnik-zmierzchu-dysk-17630431628</t>
  </si>
  <si>
    <t>Moze przydać na naświetlenie parkingu</t>
  </si>
  <si>
    <t>Lampka Solarna wisząca</t>
  </si>
  <si>
    <t>https://allegro.pl/oferta/lampa-solarna-sufitowa-wiszaca-podwojna-zyrandol-led-2w1-czujnik-zmierzchu-17325228574</t>
  </si>
  <si>
    <t>Lampa Solarna Typu 'UFO'</t>
  </si>
  <si>
    <t>https://allegro.pl/oferta/lampa-solarna-latarnia-uliczna-ogrodowa-ufo-czujnik-ruchu-pilot-16056380041</t>
  </si>
  <si>
    <t>Lapka solarna ogrodzeniowa</t>
  </si>
  <si>
    <t>https://pl.aliexpress.com/item/1005006408630526.html?src=google&amp;pdp_npi=4%40dis!PLN!18.50!6.49!!!!!%40!12000037060807394!ppc!!!&amp;snpsid=1&amp;snps=y&amp;snpsid=1&amp;src=google&amp;albch=shopping&amp;acnt=897-548-8760&amp;isdl=y&amp;slnk=&amp;plac=&amp;mtctp=&amp;albbt=Google_7_shopping&amp;aff_platform=google&amp;aff_short_key=UneMJZVf&amp;gclsrc=aw.ds&amp;&amp;albagn=888888&amp;&amp;ds_e_adid=746616099974&amp;ds_e_matchtype=search&amp;ds_e_device=c&amp;ds_e_network=g&amp;ds_e_product_group_id=2416466161347&amp;ds_e_product_id=pl1005006408630526&amp;ds_e_product_merchant_id=5551326180&amp;ds_e_product_country=PL&amp;ds_e_product_language=pl&amp;ds_e_product_channel=online&amp;ds_e_product_store_id=&amp;ds_url_v=2&amp;albcp=22441419261&amp;albag=186573352268&amp;isSmbAutoCall=false&amp;needSmbHouyi=false&amp;gad_source=1&amp;gad_campaignid=22441419261&amp;gclid=Cj0KCQjw953DBhCyARIsANhIZoaWzsNlpHNIMMxb1hSdk5CziVjK9BgdHG0MPW9V1o3o_BR_QOhRvDwaAhG8EALw_wcB</t>
  </si>
  <si>
    <t xml:space="preserve">Kantówki na maszty oświetleniowe </t>
  </si>
  <si>
    <t xml:space="preserve">10szt. Kuby Rosińskiego, przywiezione już do Kondzia </t>
  </si>
  <si>
    <t>Lampki 'Łukasza' do oświetlania BackStagu</t>
  </si>
  <si>
    <t>Oświetlenie Namiotów</t>
  </si>
  <si>
    <t>https://allegro.pl/oferta/lampa-solarna-100-led-z-czujnikiem-ruchu-zmierzchu-kinkiet-solarny-5szt-17441190583?bi_s</t>
  </si>
  <si>
    <t>Baner sponsorzy</t>
  </si>
  <si>
    <t>Baner</t>
  </si>
  <si>
    <t>U konrada</t>
  </si>
  <si>
    <t>taśma biało-czerwona</t>
  </si>
  <si>
    <t>500m</t>
  </si>
  <si>
    <t>Stalowy</t>
  </si>
  <si>
    <t>u stalowego/ trzeba jeszcze około 750m</t>
  </si>
  <si>
    <t xml:space="preserve">oświetlenie banerów </t>
  </si>
  <si>
    <t>...</t>
  </si>
  <si>
    <t>jest tak jak w zeszłym roku, zmiana natężenia światła działą</t>
  </si>
  <si>
    <t xml:space="preserve">słupki na ogrodzenie </t>
  </si>
  <si>
    <t xml:space="preserve">są u gonza </t>
  </si>
  <si>
    <t>Identyfikatory</t>
  </si>
  <si>
    <t>gotowe są u nas</t>
  </si>
  <si>
    <t>szlauf do pryszniaca</t>
  </si>
  <si>
    <t xml:space="preserve">konrad </t>
  </si>
  <si>
    <t>prysznic</t>
  </si>
  <si>
    <t>apteka</t>
  </si>
  <si>
    <t xml:space="preserve">pierwsza pomoc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</si>
</sst>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legro.pl/oferta/mocna-lampa-solarna-led-ogrodowa-uliczna-czujnik-ruchu-i-zmierzchu-pilot-17293700268" TargetMode="External"/><Relationship Id="rId2" Type="http://schemas.openxmlformats.org/officeDocument/2006/relationships/hyperlink" Target="https://allegro.pl/oferta/12x-lampa-solarna-ogrodowa-lampki-led-gruntowe-dysk-czujnik-zmierzchu-dysk-17630431628" TargetMode="External"/><Relationship Id="rId3" Type="http://schemas.openxmlformats.org/officeDocument/2006/relationships/hyperlink" Target="https://allegro.pl/oferta/lampa-solarna-sufitowa-wiszaca-podwojna-zyrandol-led-2w1-czujnik-zmierzchu-17325228574" TargetMode="External"/><Relationship Id="rId4" Type="http://schemas.openxmlformats.org/officeDocument/2006/relationships/hyperlink" Target="https://allegro.pl/oferta/lampa-solarna-latarnia-uliczna-ogrodowa-ufo-czujnik-ruchu-pilot-16056380041" TargetMode="External"/><Relationship Id="rId5" Type="http://schemas.openxmlformats.org/officeDocument/2006/relationships/hyperlink" Target="https://pl.aliexpress.com/item/1005006408630526.html?src=google&amp;pdp_npi=4%40dis!PLN!18.50!6.49!!!!!%40!12000037060807394!ppc!!!&amp;snpsid=1&amp;snps=y&amp;snpsid=1&amp;src=google&amp;albch=shopping&amp;acnt=897-548-8760&amp;isdl=y&amp;slnk=&amp;plac=&amp;mtctp=&amp;albbt=Google_7_shopping&amp;aff_platform=google&amp;aff_short_key=UneMJZVf&amp;gclsrc=aw.ds&amp;&amp;albagn=888888&amp;&amp;ds_e_adid=746616099974&amp;ds_e_matchtype=search&amp;ds_e_device=c&amp;ds_e_network=g&amp;ds_e_product_group_id=2416466161347&amp;ds_e_product_id=pl1005006408630526&amp;ds_e_product_merchant_id=5551326180&amp;ds_e_product_country=PL&amp;ds_e_product_language=pl&amp;ds_e_product_channel=online&amp;ds_e_product_store_id=&amp;ds_url_v=2&amp;albcp=22441419261&amp;albag=186573352268&amp;isSmbAutoCall=false&amp;needSmbHouyi=false&amp;gad_source=1&amp;gad_campaignid=22441419261&amp;gclid=Cj0KCQjw953DBhCyARIsANhIZoaWzsNlpHNIMMxb1hSdk5CziVjK9BgdHG0MPW9V1o3o_BR_QOhRvDwaAhG8EALw_wcB" TargetMode="External"/><Relationship Id="rId6" Type="http://schemas.openxmlformats.org/officeDocument/2006/relationships/hyperlink" Target="https://allegro.pl/oferta/lampa-solarna-100-led-z-czujnikiem-ruchu-zmierzchu-kinkiet-solarny-5szt-17441190583?bi_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3" max="3" width="19.25"/>
    <col customWidth="1" min="4" max="4" width="24.63"/>
    <col customWidth="1" min="5" max="5" width="86.38"/>
    <col customWidth="1" min="6" max="6" width="53.13"/>
    <col customWidth="1" min="9" max="9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6.0</v>
      </c>
      <c r="C2" s="1" t="s">
        <v>7</v>
      </c>
      <c r="D2" s="1" t="s">
        <v>8</v>
      </c>
      <c r="E2" s="2" t="s">
        <v>9</v>
      </c>
      <c r="F2" s="1" t="s">
        <v>10</v>
      </c>
    </row>
    <row r="3">
      <c r="A3" s="1" t="s">
        <v>11</v>
      </c>
      <c r="B3" s="1">
        <v>1.0</v>
      </c>
      <c r="C3" s="1" t="s">
        <v>7</v>
      </c>
      <c r="D3" s="1" t="s">
        <v>12</v>
      </c>
    </row>
    <row r="4">
      <c r="A4" s="1" t="s">
        <v>13</v>
      </c>
      <c r="B4" s="1">
        <v>3.0</v>
      </c>
      <c r="C4" s="1" t="s">
        <v>7</v>
      </c>
      <c r="D4" s="1" t="s">
        <v>12</v>
      </c>
    </row>
    <row r="5">
      <c r="A5" s="1" t="s">
        <v>14</v>
      </c>
      <c r="B5" s="1">
        <v>1.0</v>
      </c>
      <c r="C5" s="1" t="s">
        <v>7</v>
      </c>
      <c r="D5" s="1" t="s">
        <v>12</v>
      </c>
    </row>
    <row r="6">
      <c r="A6" s="1" t="s">
        <v>15</v>
      </c>
      <c r="B6" s="1">
        <v>1.0</v>
      </c>
      <c r="C6" s="1" t="s">
        <v>7</v>
      </c>
      <c r="D6" s="1" t="s">
        <v>16</v>
      </c>
      <c r="F6" s="1" t="s">
        <v>17</v>
      </c>
    </row>
    <row r="7">
      <c r="A7" s="1" t="s">
        <v>18</v>
      </c>
      <c r="B7" s="1">
        <v>1.0</v>
      </c>
      <c r="C7" s="1" t="s">
        <v>19</v>
      </c>
      <c r="D7" s="1" t="s">
        <v>16</v>
      </c>
      <c r="F7" s="1" t="s">
        <v>20</v>
      </c>
    </row>
    <row r="8">
      <c r="A8" s="1" t="s">
        <v>21</v>
      </c>
      <c r="B8" s="1">
        <v>1.0</v>
      </c>
      <c r="C8" s="1" t="s">
        <v>19</v>
      </c>
      <c r="D8" s="1" t="s">
        <v>16</v>
      </c>
      <c r="F8" s="1" t="s">
        <v>20</v>
      </c>
    </row>
    <row r="9">
      <c r="A9" s="1" t="s">
        <v>22</v>
      </c>
      <c r="B9" s="1">
        <v>5.0</v>
      </c>
      <c r="C9" s="1" t="s">
        <v>19</v>
      </c>
      <c r="D9" s="1" t="s">
        <v>16</v>
      </c>
      <c r="F9" s="1" t="s">
        <v>20</v>
      </c>
    </row>
    <row r="10">
      <c r="A10" s="1" t="s">
        <v>23</v>
      </c>
      <c r="B10" s="1">
        <v>12.0</v>
      </c>
      <c r="C10" s="1" t="s">
        <v>7</v>
      </c>
      <c r="D10" s="1" t="s">
        <v>8</v>
      </c>
      <c r="E10" s="2" t="s">
        <v>24</v>
      </c>
      <c r="F10" s="1" t="s">
        <v>25</v>
      </c>
      <c r="M10" s="1" t="str">
        <f>QUERY(B2:D, "SELECT D, SUM(B) WHERE D IS NOT NULL GROUP BY D LABEL SUM(B) 'Suma Ilości', D 'Kategoria'", 0)</f>
        <v>#ERROR!</v>
      </c>
    </row>
    <row r="11">
      <c r="A11" s="1" t="s">
        <v>26</v>
      </c>
      <c r="C11" s="1" t="s">
        <v>7</v>
      </c>
      <c r="D11" s="1" t="s">
        <v>8</v>
      </c>
      <c r="E11" s="2" t="s">
        <v>27</v>
      </c>
    </row>
    <row r="12">
      <c r="A12" s="1" t="s">
        <v>28</v>
      </c>
      <c r="C12" s="1" t="s">
        <v>7</v>
      </c>
      <c r="D12" s="1" t="s">
        <v>8</v>
      </c>
      <c r="E12" s="3" t="s">
        <v>29</v>
      </c>
    </row>
    <row r="13">
      <c r="A13" s="1" t="s">
        <v>30</v>
      </c>
      <c r="B13" s="1">
        <v>5.0</v>
      </c>
      <c r="C13" s="1" t="s">
        <v>19</v>
      </c>
      <c r="D13" s="1" t="s">
        <v>8</v>
      </c>
      <c r="E13" s="3" t="s">
        <v>31</v>
      </c>
    </row>
    <row r="14">
      <c r="A14" s="1" t="s">
        <v>32</v>
      </c>
      <c r="B14" s="1">
        <v>10.0</v>
      </c>
      <c r="C14" s="1" t="s">
        <v>19</v>
      </c>
      <c r="D14" s="1" t="s">
        <v>8</v>
      </c>
      <c r="E14" s="1" t="s">
        <v>33</v>
      </c>
    </row>
    <row r="15">
      <c r="A15" s="1" t="s">
        <v>34</v>
      </c>
      <c r="C15" s="1" t="s">
        <v>7</v>
      </c>
      <c r="D15" s="1" t="s">
        <v>35</v>
      </c>
    </row>
    <row r="16">
      <c r="A16" s="1" t="s">
        <v>30</v>
      </c>
      <c r="B16" s="1">
        <v>1.0</v>
      </c>
      <c r="C16" s="1" t="s">
        <v>19</v>
      </c>
      <c r="D16" s="1" t="s">
        <v>8</v>
      </c>
      <c r="E16" s="3" t="s">
        <v>36</v>
      </c>
    </row>
    <row r="17">
      <c r="A17" s="1" t="s">
        <v>37</v>
      </c>
      <c r="B17" s="1">
        <v>1.0</v>
      </c>
      <c r="C17" s="1" t="s">
        <v>19</v>
      </c>
      <c r="D17" s="1" t="s">
        <v>38</v>
      </c>
      <c r="F17" s="1" t="s">
        <v>39</v>
      </c>
    </row>
    <row r="18">
      <c r="A18" s="1" t="s">
        <v>40</v>
      </c>
      <c r="B18" s="1" t="s">
        <v>41</v>
      </c>
      <c r="C18" s="1" t="s">
        <v>42</v>
      </c>
      <c r="F18" s="1" t="s">
        <v>43</v>
      </c>
    </row>
    <row r="19">
      <c r="A19" s="1" t="s">
        <v>44</v>
      </c>
      <c r="C19" s="1" t="s">
        <v>42</v>
      </c>
      <c r="E19" s="1" t="s">
        <v>45</v>
      </c>
      <c r="F19" s="1" t="s">
        <v>46</v>
      </c>
    </row>
    <row r="20">
      <c r="A20" s="1" t="s">
        <v>47</v>
      </c>
      <c r="C20" s="1" t="s">
        <v>42</v>
      </c>
      <c r="F20" s="1" t="s">
        <v>48</v>
      </c>
    </row>
    <row r="21">
      <c r="A21" s="1" t="s">
        <v>49</v>
      </c>
      <c r="B21" s="1">
        <v>95.0</v>
      </c>
      <c r="C21" s="1" t="s">
        <v>19</v>
      </c>
      <c r="D21" s="1" t="s">
        <v>16</v>
      </c>
      <c r="F21" s="1" t="s">
        <v>50</v>
      </c>
    </row>
    <row r="22">
      <c r="A22" s="1" t="s">
        <v>51</v>
      </c>
      <c r="B22" s="1">
        <v>1.0</v>
      </c>
      <c r="C22" s="1" t="s">
        <v>52</v>
      </c>
      <c r="D22" s="1" t="s">
        <v>53</v>
      </c>
    </row>
    <row r="23">
      <c r="A23" s="1" t="s">
        <v>54</v>
      </c>
      <c r="C23" s="1" t="s">
        <v>52</v>
      </c>
      <c r="D23" s="1" t="s">
        <v>55</v>
      </c>
    </row>
    <row r="24">
      <c r="C24" s="1"/>
    </row>
  </sheetData>
  <dataValidations>
    <dataValidation type="list" allowBlank="1" showErrorMessage="1" sqref="C2:C21">
      <formula1>"Miś,Magazyn,Garf/Kinga,Stalowy,Solis,Asia/Radek"</formula1>
    </dataValidation>
    <dataValidation type="list" allowBlank="1" showErrorMessage="1" sqref="D2:D16 D21">
      <formula1>"Oświetlenie Pola,Znaki,Oświetlenie Namiotów,Inne"</formula1>
    </dataValidation>
    <dataValidation type="list" allowBlank="1" showErrorMessage="1" sqref="C22:C24">
      <formula1>"Miś,Magazyn,Garf/Kinga,Stalowy,Solis,Asia/Radek,konrad "</formula1>
    </dataValidation>
  </dataValidations>
  <hyperlinks>
    <hyperlink r:id="rId1" ref="E2"/>
    <hyperlink r:id="rId2" ref="E10"/>
    <hyperlink r:id="rId3" ref="E11"/>
    <hyperlink r:id="rId4" ref="E12"/>
    <hyperlink r:id="rId5" ref="E13"/>
    <hyperlink r:id="rId6" ref="E16"/>
  </hyperlinks>
  <drawing r:id="rId7"/>
</worksheet>
</file>